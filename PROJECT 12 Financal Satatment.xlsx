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TECHNEZO 03332568818\Downloads\EXCEL PROJECTS\"/>
    </mc:Choice>
  </mc:AlternateContent>
  <xr:revisionPtr revIDLastSave="0" documentId="13_ncr:1_{3CABCA3C-1F0B-40F0-A02C-8ACE59E01C1F}" xr6:coauthVersionLast="47" xr6:coauthVersionMax="47" xr10:uidLastSave="{00000000-0000-0000-0000-000000000000}"/>
  <bookViews>
    <workbookView xWindow="-120" yWindow="-120" windowWidth="20730" windowHeight="11160" firstSheet="1" activeTab="3" xr2:uid="{DC81E302-3482-42D2-92C7-619C6248544F}"/>
  </bookViews>
  <sheets>
    <sheet name="CHART OF ACCOUNT" sheetId="2" r:id="rId1"/>
    <sheet name="JOURNAL ENTRIES" sheetId="1" r:id="rId2"/>
    <sheet name="LEDGER" sheetId="6" r:id="rId3"/>
    <sheet name="TRAIL BALANCE" sheetId="7" r:id="rId4"/>
    <sheet name="INCOME STATMENT" sheetId="8" r:id="rId5"/>
    <sheet name="BALANCE SHEET" sheetId="9" r:id="rId6"/>
  </sheets>
  <definedNames>
    <definedName name="Slicer_ACCOUNT">#N/A</definedName>
  </definedNames>
  <calcPr calcId="181029"/>
  <pivotCaches>
    <pivotCache cacheId="6"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7" i="9" l="1"/>
  <c r="J19" i="9" s="1"/>
  <c r="I10" i="9"/>
  <c r="I9" i="9"/>
  <c r="I18" i="9"/>
  <c r="D14" i="9"/>
  <c r="D13" i="9"/>
  <c r="D12" i="9"/>
  <c r="D11" i="9"/>
  <c r="E15" i="9" s="1"/>
  <c r="D7" i="9"/>
  <c r="E8" i="9" s="1"/>
  <c r="E21" i="9" s="1"/>
  <c r="E13" i="8"/>
  <c r="E12" i="8"/>
  <c r="F7" i="8"/>
  <c r="F6" i="8"/>
  <c r="A2" i="6"/>
  <c r="C2" i="6" s="1"/>
  <c r="J11" i="9" l="1"/>
  <c r="J13" i="9" s="1"/>
  <c r="J21" i="9" s="1"/>
  <c r="F8" i="8"/>
  <c r="F14" i="8"/>
  <c r="F15" i="8" l="1"/>
  <c r="F16" i="8" s="1"/>
  <c r="F17" i="8" s="1"/>
</calcChain>
</file>

<file path=xl/sharedStrings.xml><?xml version="1.0" encoding="utf-8"?>
<sst xmlns="http://schemas.openxmlformats.org/spreadsheetml/2006/main" count="214" uniqueCount="92">
  <si>
    <t>DATE</t>
  </si>
  <si>
    <t>DESCRIPTION</t>
  </si>
  <si>
    <t>ACCOUNT</t>
  </si>
  <si>
    <t>DEBIT</t>
  </si>
  <si>
    <t>CREDIT</t>
  </si>
  <si>
    <t>COMMENTS</t>
  </si>
  <si>
    <t>Assets</t>
  </si>
  <si>
    <t>Laibilities</t>
  </si>
  <si>
    <t>Equity</t>
  </si>
  <si>
    <t>Expense</t>
  </si>
  <si>
    <t>Revneue</t>
  </si>
  <si>
    <t>Contra Revenue</t>
  </si>
  <si>
    <t>Current Asset</t>
  </si>
  <si>
    <t>Fixed Assets</t>
  </si>
  <si>
    <t>Current liabalities</t>
  </si>
  <si>
    <t>Fixed Laibalities</t>
  </si>
  <si>
    <t>SUB ACCOUNT</t>
  </si>
  <si>
    <t>Individual Account</t>
  </si>
  <si>
    <t>*Establising a busniess by Owais, investing Rs 1 million in cash</t>
  </si>
  <si>
    <t>Estabalising a busniess</t>
  </si>
  <si>
    <t>Cash</t>
  </si>
  <si>
    <t>Equity-Owais</t>
  </si>
  <si>
    <t>Bank-112</t>
  </si>
  <si>
    <t xml:space="preserve"> </t>
  </si>
  <si>
    <t>*Deposit Rs5 lac in Bank on 2 jan 2026</t>
  </si>
  <si>
    <t>Deposit in bank</t>
  </si>
  <si>
    <t>Mr Ozair went to deposit in bank</t>
  </si>
  <si>
    <t>*purchase inventory on credit for Rs 600000 from Mr. Zubair</t>
  </si>
  <si>
    <t>Inventory</t>
  </si>
  <si>
    <t>Mr.zubair</t>
  </si>
  <si>
    <t>Purchase Inventory</t>
  </si>
  <si>
    <t>*purchased inventory of RS 200000 bypaying from cheque from Mr.Ahmeed</t>
  </si>
  <si>
    <t>Purchased Inventory</t>
  </si>
  <si>
    <t>Sales</t>
  </si>
  <si>
    <t>Sale Inventory</t>
  </si>
  <si>
    <t>Cost of Good Solds</t>
  </si>
  <si>
    <t>*Sold inventory for Rs 400000 on cash on 10th jan the COGS is 300000</t>
  </si>
  <si>
    <t>Adjust inventory Against COGS</t>
  </si>
  <si>
    <t>*Sold inventory for credit to Mr. ALI for RS.300000 on 15 jan</t>
  </si>
  <si>
    <t>Mr.Ali</t>
  </si>
  <si>
    <t>Sold inventory on Credit</t>
  </si>
  <si>
    <t>*paid elecricty bill for Rs 14000</t>
  </si>
  <si>
    <t>Electricity</t>
  </si>
  <si>
    <t>Paid Electricity Bill</t>
  </si>
  <si>
    <t>*Paid salary to employee for Rs 100000 by cash</t>
  </si>
  <si>
    <t>Salary</t>
  </si>
  <si>
    <t>Paid Salary</t>
  </si>
  <si>
    <t>*paid cash to Mr zubair by cash 100000</t>
  </si>
  <si>
    <t>Paid Cash to Mr.Zubair</t>
  </si>
  <si>
    <t>*Mr Ali gave the amount of 150000 in bank</t>
  </si>
  <si>
    <t>Cash received by Mr.Ali</t>
  </si>
  <si>
    <t>Grand Total</t>
  </si>
  <si>
    <t>Sum of DEBIT</t>
  </si>
  <si>
    <t>Sum of CREDIT</t>
  </si>
  <si>
    <t>Sum of BALANCE</t>
  </si>
  <si>
    <t>TRAIL BALANCE</t>
  </si>
  <si>
    <t>JOURNAL ENTRIES</t>
  </si>
  <si>
    <t>ABC BANK</t>
  </si>
  <si>
    <t>INCOME STATEMENT</t>
  </si>
  <si>
    <t xml:space="preserve">FOR THE PERIOD OF 2026 </t>
  </si>
  <si>
    <t>FINANCIAL STATEMENT</t>
  </si>
  <si>
    <t>Balance sheet</t>
  </si>
  <si>
    <t>Income Statement</t>
  </si>
  <si>
    <t>SALES</t>
  </si>
  <si>
    <t>GROSS PROFIT</t>
  </si>
  <si>
    <t>OPREATING EXPENSES</t>
  </si>
  <si>
    <t>Total of Opreating Expenses</t>
  </si>
  <si>
    <t>Opreating profit</t>
  </si>
  <si>
    <t>Tax 15%</t>
  </si>
  <si>
    <t>Net profit</t>
  </si>
  <si>
    <t>Taxes</t>
  </si>
  <si>
    <t>Govt</t>
  </si>
  <si>
    <t>Payble to Govt</t>
  </si>
  <si>
    <t>BALANCE SHEET</t>
  </si>
  <si>
    <t>FOR THE YEAR 2026</t>
  </si>
  <si>
    <t>Laibalites &amp; Equity</t>
  </si>
  <si>
    <t>Shop</t>
  </si>
  <si>
    <t>Purchased a shop</t>
  </si>
  <si>
    <t>Fixed assets</t>
  </si>
  <si>
    <t>FIXED ASSETS</t>
  </si>
  <si>
    <t>Total of fixed Assets</t>
  </si>
  <si>
    <t>CURRENT ASSETS</t>
  </si>
  <si>
    <t>Total of current assets</t>
  </si>
  <si>
    <t>TOTAL ASSETS</t>
  </si>
  <si>
    <t>FIXED LIABALITES</t>
  </si>
  <si>
    <t>CURRENT LIABALITES</t>
  </si>
  <si>
    <t>Total of Laibalities</t>
  </si>
  <si>
    <t>Total of current laibalities</t>
  </si>
  <si>
    <t>Laibalities</t>
  </si>
  <si>
    <t>Total of equity</t>
  </si>
  <si>
    <t>Retained earning</t>
  </si>
  <si>
    <t>TOTAL LAIBALITIES &amp; EQUITY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</si>
</sst>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409]d\-mmm\-yyyy;@"/>
    <numFmt numFmtId="165" formatCode="_(* #,##0_);_(* \(#,##0\);_(* &quot;-&quot;??_);_(@_)"/>
  </numFmts>
  <fonts count="16" x14ac:knownFonts="1">
    <font>
      <sz val="11"/>
      <color theme="1"/>
      <name val="Calibri"/>
      <family val="2"/>
      <scheme val="minor"/>
    </font>
    <font>
      <sz val="11"/>
      <color theme="1"/>
      <name val="Calibri"/>
      <family val="2"/>
      <scheme val="minor"/>
    </font>
    <font>
      <b/>
      <sz val="11"/>
      <color theme="1"/>
      <name val="Calibri"/>
      <family val="2"/>
      <scheme val="minor"/>
    </font>
    <font>
      <b/>
      <i/>
      <sz val="36"/>
      <color theme="1"/>
      <name val="Aparajita"/>
      <family val="1"/>
    </font>
    <font>
      <b/>
      <i/>
      <sz val="14"/>
      <color theme="1"/>
      <name val="Aparajita"/>
      <family val="1"/>
    </font>
    <font>
      <b/>
      <sz val="16"/>
      <color theme="1"/>
      <name val="Aparajita"/>
      <family val="1"/>
    </font>
    <font>
      <b/>
      <sz val="18"/>
      <color theme="1"/>
      <name val="Aparajita"/>
      <family val="1"/>
    </font>
    <font>
      <b/>
      <sz val="36"/>
      <color theme="1"/>
      <name val="Aparajita"/>
      <family val="1"/>
    </font>
    <font>
      <i/>
      <sz val="11"/>
      <color theme="1"/>
      <name val="Calibri"/>
      <family val="2"/>
      <scheme val="minor"/>
    </font>
    <font>
      <i/>
      <sz val="11"/>
      <color theme="1"/>
      <name val="Aparajita"/>
      <family val="1"/>
    </font>
    <font>
      <b/>
      <i/>
      <sz val="11"/>
      <color theme="1"/>
      <name val="Calibri"/>
      <family val="2"/>
      <scheme val="minor"/>
    </font>
    <font>
      <b/>
      <i/>
      <u/>
      <sz val="14"/>
      <color theme="1"/>
      <name val="Calibri"/>
      <family val="2"/>
      <scheme val="minor"/>
    </font>
    <font>
      <b/>
      <i/>
      <u/>
      <sz val="16"/>
      <color theme="1"/>
      <name val="Aparajita"/>
      <family val="1"/>
    </font>
    <font>
      <b/>
      <u/>
      <sz val="11"/>
      <color theme="1"/>
      <name val="Calibri"/>
      <family val="2"/>
      <scheme val="minor"/>
    </font>
    <font>
      <b/>
      <i/>
      <u/>
      <sz val="11"/>
      <color theme="1"/>
      <name val="Calibri"/>
      <family val="2"/>
      <scheme val="minor"/>
    </font>
    <font>
      <b/>
      <u/>
      <sz val="14"/>
      <color theme="1"/>
      <name val="Calibri"/>
      <family val="2"/>
      <scheme val="minor"/>
    </font>
  </fonts>
  <fills count="5">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rgb="FFCCFF33"/>
        <bgColor indexed="64"/>
      </patternFill>
    </fill>
  </fills>
  <borders count="13">
    <border>
      <left/>
      <right/>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top style="thin">
        <color indexed="64"/>
      </top>
      <bottom style="medium">
        <color indexed="64"/>
      </bottom>
      <diagonal/>
    </border>
    <border>
      <left/>
      <right style="medium">
        <color indexed="64"/>
      </right>
      <top/>
      <bottom style="medium">
        <color indexed="64"/>
      </bottom>
      <diagonal/>
    </border>
    <border>
      <left/>
      <right style="medium">
        <color indexed="64"/>
      </right>
      <top style="thin">
        <color indexed="64"/>
      </top>
      <bottom style="double">
        <color indexed="64"/>
      </bottom>
      <diagonal/>
    </border>
    <border>
      <left/>
      <right style="medium">
        <color indexed="64"/>
      </right>
      <top style="thin">
        <color indexed="64"/>
      </top>
      <bottom/>
      <diagonal/>
    </border>
  </borders>
  <cellStyleXfs count="2">
    <xf numFmtId="0" fontId="0" fillId="0" borderId="0"/>
    <xf numFmtId="43" fontId="1" fillId="0" borderId="0" applyFont="0" applyFill="0" applyBorder="0" applyAlignment="0" applyProtection="0"/>
  </cellStyleXfs>
  <cellXfs count="53">
    <xf numFmtId="0" fontId="0" fillId="0" borderId="0" xfId="0"/>
    <xf numFmtId="0" fontId="2" fillId="0" borderId="0" xfId="0" applyFont="1" applyAlignment="1">
      <alignment horizontal="center"/>
    </xf>
    <xf numFmtId="164" fontId="0" fillId="0" borderId="0" xfId="0" applyNumberFormat="1"/>
    <xf numFmtId="164" fontId="2" fillId="0" borderId="0" xfId="0" applyNumberFormat="1" applyFont="1" applyAlignment="1">
      <alignment horizontal="center"/>
    </xf>
    <xf numFmtId="165" fontId="0" fillId="0" borderId="0" xfId="1" applyNumberFormat="1" applyFont="1"/>
    <xf numFmtId="165" fontId="2" fillId="0" borderId="0" xfId="1" applyNumberFormat="1" applyFont="1" applyAlignment="1">
      <alignment horizontal="center"/>
    </xf>
    <xf numFmtId="0" fontId="0" fillId="0" borderId="0" xfId="0" pivotButton="1"/>
    <xf numFmtId="0" fontId="2" fillId="0" borderId="0" xfId="0" applyFont="1"/>
    <xf numFmtId="3" fontId="0" fillId="0" borderId="0" xfId="0" applyNumberFormat="1"/>
    <xf numFmtId="41" fontId="0" fillId="0" borderId="0" xfId="0" applyNumberFormat="1"/>
    <xf numFmtId="0" fontId="3" fillId="0" borderId="0" xfId="0" applyFont="1"/>
    <xf numFmtId="41" fontId="2" fillId="0" borderId="1" xfId="0" applyNumberFormat="1" applyFont="1" applyBorder="1"/>
    <xf numFmtId="0" fontId="8" fillId="0" borderId="1" xfId="0" applyFont="1" applyBorder="1"/>
    <xf numFmtId="0" fontId="10" fillId="0" borderId="0" xfId="0" applyFont="1"/>
    <xf numFmtId="0" fontId="0" fillId="0" borderId="5" xfId="0" applyBorder="1"/>
    <xf numFmtId="0" fontId="0" fillId="0" borderId="6" xfId="0" applyBorder="1"/>
    <xf numFmtId="0" fontId="11" fillId="0" borderId="0" xfId="0" applyFont="1"/>
    <xf numFmtId="0" fontId="8" fillId="0" borderId="0" xfId="0" applyFont="1"/>
    <xf numFmtId="0" fontId="0" fillId="0" borderId="7" xfId="0" applyBorder="1"/>
    <xf numFmtId="0" fontId="2" fillId="0" borderId="8" xfId="0" applyFont="1" applyBorder="1"/>
    <xf numFmtId="41" fontId="2" fillId="0" borderId="9" xfId="0" applyNumberFormat="1" applyFont="1" applyBorder="1"/>
    <xf numFmtId="0" fontId="0" fillId="0" borderId="8" xfId="0" applyBorder="1"/>
    <xf numFmtId="0" fontId="0" fillId="0" borderId="10" xfId="0" applyBorder="1"/>
    <xf numFmtId="0" fontId="0" fillId="0" borderId="2" xfId="0" applyBorder="1" applyAlignment="1">
      <alignment horizontal="center"/>
    </xf>
    <xf numFmtId="0" fontId="0" fillId="0" borderId="3" xfId="0" applyBorder="1" applyAlignment="1">
      <alignment horizontal="center"/>
    </xf>
    <xf numFmtId="0" fontId="12" fillId="0" borderId="5" xfId="0" applyFont="1" applyBorder="1"/>
    <xf numFmtId="0" fontId="3" fillId="0" borderId="0" xfId="0" applyFont="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2" fillId="3" borderId="5" xfId="0" applyFont="1" applyFill="1" applyBorder="1" applyAlignment="1">
      <alignment horizontal="center"/>
    </xf>
    <xf numFmtId="0" fontId="2" fillId="3" borderId="0" xfId="0" applyFont="1" applyFill="1" applyAlignment="1">
      <alignment horizontal="center"/>
    </xf>
    <xf numFmtId="0" fontId="2" fillId="3" borderId="6" xfId="0" applyFont="1" applyFill="1" applyBorder="1" applyAlignment="1">
      <alignment horizontal="center"/>
    </xf>
    <xf numFmtId="0" fontId="9" fillId="4" borderId="5" xfId="0" applyFont="1" applyFill="1" applyBorder="1" applyAlignment="1">
      <alignment horizontal="center"/>
    </xf>
    <xf numFmtId="0" fontId="9" fillId="4" borderId="0" xfId="0" applyFont="1" applyFill="1" applyAlignment="1">
      <alignment horizontal="center"/>
    </xf>
    <xf numFmtId="0" fontId="9" fillId="4" borderId="6" xfId="0" applyFont="1" applyFill="1" applyBorder="1" applyAlignment="1">
      <alignment horizontal="center"/>
    </xf>
    <xf numFmtId="0" fontId="14" fillId="0" borderId="5" xfId="0" applyFont="1" applyBorder="1"/>
    <xf numFmtId="0" fontId="2" fillId="0" borderId="11" xfId="0" applyFont="1" applyBorder="1"/>
    <xf numFmtId="0" fontId="0" fillId="0" borderId="0" xfId="0" applyBorder="1"/>
    <xf numFmtId="41" fontId="0" fillId="0" borderId="3" xfId="0" applyNumberFormat="1" applyBorder="1" applyAlignment="1">
      <alignment horizontal="center"/>
    </xf>
    <xf numFmtId="41" fontId="0" fillId="0" borderId="0" xfId="0" applyNumberFormat="1" applyBorder="1"/>
    <xf numFmtId="41" fontId="0" fillId="0" borderId="8" xfId="0" applyNumberFormat="1" applyBorder="1"/>
    <xf numFmtId="41" fontId="0" fillId="0" borderId="4" xfId="0" applyNumberFormat="1" applyBorder="1" applyAlignment="1">
      <alignment horizontal="center"/>
    </xf>
    <xf numFmtId="41" fontId="0" fillId="0" borderId="6" xfId="0" applyNumberFormat="1" applyBorder="1"/>
    <xf numFmtId="41" fontId="0" fillId="0" borderId="10" xfId="0" applyNumberFormat="1" applyBorder="1"/>
    <xf numFmtId="0" fontId="13" fillId="0" borderId="5" xfId="0" applyFont="1" applyBorder="1" applyAlignment="1">
      <alignment horizontal="left" indent="1"/>
    </xf>
    <xf numFmtId="0" fontId="13" fillId="0" borderId="5" xfId="0" applyFont="1" applyBorder="1" applyAlignment="1">
      <alignment horizontal="left" indent="2"/>
    </xf>
    <xf numFmtId="0" fontId="2" fillId="0" borderId="0" xfId="0" applyFont="1" applyBorder="1"/>
    <xf numFmtId="0" fontId="15" fillId="0" borderId="5" xfId="0" applyFont="1" applyBorder="1"/>
    <xf numFmtId="0" fontId="2" fillId="0" borderId="12" xfId="0" applyFont="1" applyBorder="1"/>
    <xf numFmtId="0" fontId="6" fillId="2" borderId="0" xfId="0" applyFont="1" applyFill="1" applyAlignment="1">
      <alignment horizontal="center" vertical="center"/>
    </xf>
    <xf numFmtId="0" fontId="5" fillId="3" borderId="0" xfId="0" applyFont="1" applyFill="1" applyAlignment="1">
      <alignment horizontal="center" vertical="center"/>
    </xf>
    <xf numFmtId="0" fontId="4" fillId="4" borderId="0" xfId="0" applyFont="1" applyFill="1" applyAlignment="1">
      <alignment horizontal="center" vertical="center"/>
    </xf>
  </cellXfs>
  <cellStyles count="2">
    <cellStyle name="Comma" xfId="1" builtinId="3"/>
    <cellStyle name="Normal" xfId="0" builtinId="0"/>
  </cellStyles>
  <dxfs count="4">
    <dxf>
      <numFmt numFmtId="165" formatCode="_(* #,##0_);_(* \(#,##0\);_(* &quot;-&quot;??_);_(@_)"/>
    </dxf>
    <dxf>
      <numFmt numFmtId="165" formatCode="_(* #,##0_);_(* \(#,##0\);_(* &quot;-&quot;??_);_(@_)"/>
    </dxf>
    <dxf>
      <numFmt numFmtId="164" formatCode="[$-409]d\-mmm\-yyyy;@"/>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colors>
    <mruColors>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8</xdr:col>
      <xdr:colOff>38100</xdr:colOff>
      <xdr:row>0</xdr:row>
      <xdr:rowOff>76200</xdr:rowOff>
    </xdr:from>
    <xdr:to>
      <xdr:col>11</xdr:col>
      <xdr:colOff>38100</xdr:colOff>
      <xdr:row>14</xdr:row>
      <xdr:rowOff>38100</xdr:rowOff>
    </xdr:to>
    <mc:AlternateContent xmlns:mc="http://schemas.openxmlformats.org/markup-compatibility/2006" xmlns:a14="http://schemas.microsoft.com/office/drawing/2010/main">
      <mc:Choice Requires="a14">
        <xdr:graphicFrame macro="">
          <xdr:nvGraphicFramePr>
            <xdr:cNvPr id="2" name="ACCOUNT">
              <a:extLst>
                <a:ext uri="{FF2B5EF4-FFF2-40B4-BE49-F238E27FC236}">
                  <a16:creationId xmlns:a16="http://schemas.microsoft.com/office/drawing/2014/main" id="{CD586AE3-55C0-FEF0-55D4-4626638C972A}"/>
                </a:ext>
              </a:extLst>
            </xdr:cNvPr>
            <xdr:cNvGraphicFramePr/>
          </xdr:nvGraphicFramePr>
          <xdr:xfrm>
            <a:off x="0" y="0"/>
            <a:ext cx="0" cy="0"/>
          </xdr:xfrm>
          <a:graphic>
            <a:graphicData uri="http://schemas.microsoft.com/office/drawing/2010/slicer">
              <sle:slicer xmlns:sle="http://schemas.microsoft.com/office/drawing/2010/slicer" name="ACCOUNT"/>
            </a:graphicData>
          </a:graphic>
        </xdr:graphicFrame>
      </mc:Choice>
      <mc:Fallback xmlns="">
        <xdr:sp macro="" textlink="">
          <xdr:nvSpPr>
            <xdr:cNvPr id="0" name=""/>
            <xdr:cNvSpPr>
              <a:spLocks noTextEdit="1"/>
            </xdr:cNvSpPr>
          </xdr:nvSpPr>
          <xdr:spPr>
            <a:xfrm>
              <a:off x="10391775" y="76200"/>
              <a:ext cx="1828800" cy="3086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M E TOOBA" refreshedDate="46212.931982870374" createdVersion="8" refreshedVersion="8" minRefreshableVersion="3" recordCount="28" xr:uid="{9F113889-F6DE-46CB-B7B9-66E64F7C4B77}">
  <cacheSource type="worksheet">
    <worksheetSource name="Table_Journal"/>
  </cacheSource>
  <cacheFields count="7">
    <cacheField name="DATE" numFmtId="164">
      <sharedItems containsSemiMixedTypes="0" containsNonDate="0" containsDate="1" containsString="0" minDate="2026-01-01T00:00:00" maxDate="2026-03-01T00:00:00" count="11">
        <d v="2026-01-01T00:00:00"/>
        <d v="2026-01-02T00:00:00"/>
        <d v="2026-01-03T00:00:00"/>
        <d v="2026-01-04T00:00:00"/>
        <d v="2026-01-10T00:00:00"/>
        <d v="2026-01-15T00:00:00"/>
        <d v="2026-01-30T00:00:00"/>
        <d v="2026-02-02T00:00:00"/>
        <d v="2026-02-06T00:00:00"/>
        <d v="2026-02-10T00:00:00"/>
        <d v="2026-02-28T00:00:00"/>
      </sharedItems>
    </cacheField>
    <cacheField name="DESCRIPTION" numFmtId="0">
      <sharedItems count="13">
        <s v="Estabalising a busniess"/>
        <s v="Deposit in bank"/>
        <s v="Purchase Inventory"/>
        <s v="Purchased Inventory"/>
        <s v="Sale Inventory"/>
        <s v="Adjust inventory Against COGS"/>
        <s v="Sold inventory on Credit"/>
        <s v="Paid Electricity Bill"/>
        <s v="Paid Salary"/>
        <s v="Paid Cash to Mr.Zubair"/>
        <s v="Cash received by Mr.Ali"/>
        <s v="Purchased a shop"/>
        <s v="Payble to Govt"/>
      </sharedItems>
    </cacheField>
    <cacheField name="ACCOUNT" numFmtId="0">
      <sharedItems count="13">
        <s v="Cash"/>
        <s v="Equity-Owais"/>
        <s v="Bank-112"/>
        <s v="Inventory"/>
        <s v="Mr.zubair"/>
        <s v="Sales"/>
        <s v="Cost of Good Solds"/>
        <s v="Mr.Ali"/>
        <s v="Electricity"/>
        <s v="Salary"/>
        <s v="Shop"/>
        <s v="Taxes"/>
        <s v="Govt"/>
      </sharedItems>
    </cacheField>
    <cacheField name="DEBIT" numFmtId="165">
      <sharedItems containsString="0" containsBlank="1" containsNumber="1" containsInteger="1" minValue="14000" maxValue="1000000"/>
    </cacheField>
    <cacheField name="CREDIT" numFmtId="165">
      <sharedItems containsString="0" containsBlank="1" containsNumber="1" containsInteger="1" minValue="14000" maxValue="1000000"/>
    </cacheField>
    <cacheField name="COMMENTS" numFmtId="0">
      <sharedItems containsBlank="1"/>
    </cacheField>
    <cacheField name="BALANCE" numFmtId="0" formula="DEBIT-CREDIT" databaseField="0"/>
  </cacheFields>
  <extLst>
    <ext xmlns:x14="http://schemas.microsoft.com/office/spreadsheetml/2009/9/main" uri="{725AE2AE-9491-48be-B2B4-4EB974FC3084}">
      <x14:pivotCacheDefinition pivotCacheId="13114068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x v="0"/>
    <x v="0"/>
    <n v="1000000"/>
    <m/>
    <m/>
  </r>
  <r>
    <x v="0"/>
    <x v="0"/>
    <x v="1"/>
    <m/>
    <n v="1000000"/>
    <m/>
  </r>
  <r>
    <x v="1"/>
    <x v="1"/>
    <x v="2"/>
    <n v="500000"/>
    <m/>
    <s v="Mr Ozair went to deposit in bank"/>
  </r>
  <r>
    <x v="1"/>
    <x v="1"/>
    <x v="0"/>
    <m/>
    <n v="500000"/>
    <m/>
  </r>
  <r>
    <x v="2"/>
    <x v="2"/>
    <x v="3"/>
    <n v="600000"/>
    <m/>
    <m/>
  </r>
  <r>
    <x v="2"/>
    <x v="2"/>
    <x v="4"/>
    <m/>
    <n v="600000"/>
    <m/>
  </r>
  <r>
    <x v="3"/>
    <x v="3"/>
    <x v="3"/>
    <n v="200000"/>
    <m/>
    <m/>
  </r>
  <r>
    <x v="3"/>
    <x v="3"/>
    <x v="2"/>
    <m/>
    <n v="200000"/>
    <m/>
  </r>
  <r>
    <x v="4"/>
    <x v="4"/>
    <x v="0"/>
    <n v="400000"/>
    <m/>
    <m/>
  </r>
  <r>
    <x v="4"/>
    <x v="4"/>
    <x v="5"/>
    <m/>
    <n v="400000"/>
    <m/>
  </r>
  <r>
    <x v="4"/>
    <x v="5"/>
    <x v="6"/>
    <n v="300000"/>
    <m/>
    <m/>
  </r>
  <r>
    <x v="4"/>
    <x v="5"/>
    <x v="3"/>
    <m/>
    <n v="300000"/>
    <m/>
  </r>
  <r>
    <x v="5"/>
    <x v="6"/>
    <x v="7"/>
    <n v="300000"/>
    <m/>
    <m/>
  </r>
  <r>
    <x v="5"/>
    <x v="6"/>
    <x v="5"/>
    <m/>
    <n v="300000"/>
    <m/>
  </r>
  <r>
    <x v="5"/>
    <x v="5"/>
    <x v="6"/>
    <n v="150000"/>
    <m/>
    <m/>
  </r>
  <r>
    <x v="5"/>
    <x v="5"/>
    <x v="3"/>
    <m/>
    <n v="150000"/>
    <m/>
  </r>
  <r>
    <x v="5"/>
    <x v="7"/>
    <x v="8"/>
    <n v="14000"/>
    <m/>
    <m/>
  </r>
  <r>
    <x v="5"/>
    <x v="7"/>
    <x v="2"/>
    <m/>
    <n v="14000"/>
    <m/>
  </r>
  <r>
    <x v="6"/>
    <x v="8"/>
    <x v="9"/>
    <n v="100000"/>
    <m/>
    <m/>
  </r>
  <r>
    <x v="6"/>
    <x v="8"/>
    <x v="0"/>
    <m/>
    <n v="100000"/>
    <m/>
  </r>
  <r>
    <x v="7"/>
    <x v="9"/>
    <x v="4"/>
    <n v="100000"/>
    <m/>
    <m/>
  </r>
  <r>
    <x v="7"/>
    <x v="9"/>
    <x v="0"/>
    <m/>
    <n v="100000"/>
    <m/>
  </r>
  <r>
    <x v="8"/>
    <x v="10"/>
    <x v="2"/>
    <n v="150000"/>
    <m/>
    <m/>
  </r>
  <r>
    <x v="8"/>
    <x v="10"/>
    <x v="7"/>
    <m/>
    <n v="150000"/>
    <m/>
  </r>
  <r>
    <x v="9"/>
    <x v="11"/>
    <x v="10"/>
    <n v="100000"/>
    <m/>
    <m/>
  </r>
  <r>
    <x v="9"/>
    <x v="11"/>
    <x v="0"/>
    <m/>
    <n v="100000"/>
    <m/>
  </r>
  <r>
    <x v="10"/>
    <x v="12"/>
    <x v="11"/>
    <n v="20400"/>
    <m/>
    <m/>
  </r>
  <r>
    <x v="10"/>
    <x v="12"/>
    <x v="12"/>
    <m/>
    <n v="204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1FE892-35B3-4988-9680-93A7750750EC}" name="PivotTable3" cacheId="6"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3:F10" firstHeaderRow="0" firstDataRow="1" firstDataCol="3"/>
  <pivotFields count="7">
    <pivotField axis="axisRow" compact="0" numFmtId="164" outline="0" showAll="0" defaultSubtotal="0">
      <items count="11">
        <item x="0"/>
        <item x="1"/>
        <item x="2"/>
        <item x="3"/>
        <item x="4"/>
        <item x="5"/>
        <item x="6"/>
        <item x="7"/>
        <item x="8"/>
        <item x="10"/>
        <item x="9"/>
      </items>
    </pivotField>
    <pivotField axis="axisRow" compact="0" outline="0" showAll="0" defaultSubtotal="0">
      <items count="13">
        <item x="5"/>
        <item x="10"/>
        <item x="1"/>
        <item x="0"/>
        <item x="9"/>
        <item x="7"/>
        <item x="8"/>
        <item x="2"/>
        <item x="3"/>
        <item x="4"/>
        <item x="6"/>
        <item x="12"/>
        <item x="11"/>
      </items>
    </pivotField>
    <pivotField axis="axisRow" compact="0" outline="0" showAll="0" defaultSubtotal="0">
      <items count="13">
        <item h="1" x="2"/>
        <item x="0"/>
        <item h="1" x="6"/>
        <item h="1" x="8"/>
        <item h="1" x="1"/>
        <item h="1" x="3"/>
        <item h="1" x="7"/>
        <item h="1" x="4"/>
        <item h="1" x="9"/>
        <item h="1" x="5"/>
        <item h="1" x="11"/>
        <item h="1" x="12"/>
        <item h="1" x="10"/>
      </items>
    </pivotField>
    <pivotField dataField="1" compact="0" outline="0" showAll="0" defaultSubtotal="0"/>
    <pivotField dataField="1" compact="0" outline="0" showAll="0" defaultSubtotal="0"/>
    <pivotField compact="0" outline="0" showAll="0" defaultSubtotal="0"/>
    <pivotField dataField="1" compact="0" outline="0" subtotalTop="0" dragToRow="0" dragToCol="0" dragToPage="0" showAll="0" defaultSubtotal="0"/>
  </pivotFields>
  <rowFields count="3">
    <field x="0"/>
    <field x="1"/>
    <field x="2"/>
  </rowFields>
  <rowItems count="7">
    <i>
      <x/>
      <x v="3"/>
      <x v="1"/>
    </i>
    <i>
      <x v="1"/>
      <x v="2"/>
      <x v="1"/>
    </i>
    <i>
      <x v="4"/>
      <x v="9"/>
      <x v="1"/>
    </i>
    <i>
      <x v="6"/>
      <x v="6"/>
      <x v="1"/>
    </i>
    <i>
      <x v="7"/>
      <x v="4"/>
      <x v="1"/>
    </i>
    <i>
      <x v="10"/>
      <x v="12"/>
      <x v="1"/>
    </i>
    <i t="grand">
      <x/>
    </i>
  </rowItems>
  <colFields count="1">
    <field x="-2"/>
  </colFields>
  <colItems count="3">
    <i>
      <x/>
    </i>
    <i i="1">
      <x v="1"/>
    </i>
    <i i="2">
      <x v="2"/>
    </i>
  </colItems>
  <dataFields count="3">
    <dataField name="Sum of DEBIT" fld="3" baseField="2" baseItem="1" numFmtId="3"/>
    <dataField name="Sum of CREDIT" fld="4" baseField="2" baseItem="4" numFmtId="41"/>
    <dataField name="Sum of BALANCE" fld="6" baseField="2" baseItem="4" numFmtId="41"/>
  </dataField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25BF0B-CBE0-4EC5-BA5C-AA4942FF53A8}" name="PivotTable3" cacheId="6"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3:D17" firstHeaderRow="0" firstDataRow="1" firstDataCol="1"/>
  <pivotFields count="7">
    <pivotField compact="0" numFmtId="164" outline="0" showAll="0" defaultSubtotal="0"/>
    <pivotField compact="0" outline="0" showAll="0" defaultSubtotal="0"/>
    <pivotField axis="axisRow" compact="0" outline="0" showAll="0" defaultSubtotal="0">
      <items count="13">
        <item x="2"/>
        <item x="0"/>
        <item x="6"/>
        <item x="8"/>
        <item x="1"/>
        <item x="3"/>
        <item x="7"/>
        <item x="4"/>
        <item x="9"/>
        <item x="5"/>
        <item x="11"/>
        <item x="12"/>
        <item x="10"/>
      </items>
    </pivotField>
    <pivotField dataField="1" compact="0" outline="0" showAll="0" defaultSubtotal="0"/>
    <pivotField dataField="1" compact="0" outline="0" showAll="0" defaultSubtotal="0"/>
    <pivotField compact="0" outline="0" showAll="0" defaultSubtotal="0"/>
    <pivotField dataField="1" compact="0" outline="0" subtotalTop="0" dragToRow="0" dragToCol="0" dragToPage="0" showAll="0" defaultSubtotal="0"/>
  </pivotFields>
  <rowFields count="1">
    <field x="2"/>
  </rowFields>
  <rowItems count="14">
    <i>
      <x/>
    </i>
    <i>
      <x v="1"/>
    </i>
    <i>
      <x v="2"/>
    </i>
    <i>
      <x v="3"/>
    </i>
    <i>
      <x v="4"/>
    </i>
    <i>
      <x v="5"/>
    </i>
    <i>
      <x v="6"/>
    </i>
    <i>
      <x v="7"/>
    </i>
    <i>
      <x v="8"/>
    </i>
    <i>
      <x v="9"/>
    </i>
    <i>
      <x v="10"/>
    </i>
    <i>
      <x v="11"/>
    </i>
    <i>
      <x v="12"/>
    </i>
    <i t="grand">
      <x/>
    </i>
  </rowItems>
  <colFields count="1">
    <field x="-2"/>
  </colFields>
  <colItems count="3">
    <i>
      <x/>
    </i>
    <i i="1">
      <x v="1"/>
    </i>
    <i i="2">
      <x v="2"/>
    </i>
  </colItems>
  <dataFields count="3">
    <dataField name="Sum of DEBIT" fld="3" baseField="2" baseItem="1" numFmtId="3"/>
    <dataField name="Sum of CREDIT" fld="4" baseField="2" baseItem="4" numFmtId="41"/>
    <dataField name="Sum of BALANCE" fld="6" baseField="2" baseItem="4" numFmtId="41"/>
  </dataField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 xr10:uid="{7BED0FD3-BC14-4ABC-A36A-29E80E9E92A9}" sourceName="ACCOUNT">
  <pivotTables>
    <pivotTable tabId="6" name="PivotTable3"/>
  </pivotTables>
  <data>
    <tabular pivotCacheId="1311406848">
      <items count="13">
        <i x="2"/>
        <i x="0" s="1"/>
        <i x="6"/>
        <i x="8"/>
        <i x="1"/>
        <i x="12"/>
        <i x="3"/>
        <i x="7"/>
        <i x="4"/>
        <i x="9"/>
        <i x="5"/>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xr10:uid="{0DA5DB72-8BB0-48C8-AA68-688DB441256F}" cache="Slicer_ACCOUNT" caption="ACCOUNT"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63B12C-019C-47BE-9E15-4704CCB84D5C}" name="Table_Journal" displayName="Table_Journal" ref="A3:F31" totalsRowShown="0" headerRowDxfId="3">
  <autoFilter ref="A3:F31" xr:uid="{F863B12C-019C-47BE-9E15-4704CCB84D5C}">
    <filterColumn colId="0" hiddenButton="1"/>
    <filterColumn colId="1" hiddenButton="1"/>
    <filterColumn colId="2" hiddenButton="1"/>
    <filterColumn colId="3" hiddenButton="1"/>
    <filterColumn colId="4" hiddenButton="1"/>
    <filterColumn colId="5" hiddenButton="1"/>
  </autoFilter>
  <tableColumns count="6">
    <tableColumn id="1" xr3:uid="{8C94D3C1-ECDC-499B-8EC6-BF974FBA8EC6}" name="DATE" dataDxfId="2"/>
    <tableColumn id="2" xr3:uid="{23E26A18-EFA7-49A0-9D1A-2945D2CD933E}" name="DESCRIPTION"/>
    <tableColumn id="3" xr3:uid="{2ACAD33C-9D4E-4CAE-9410-754DD2A837DF}" name="ACCOUNT"/>
    <tableColumn id="4" xr3:uid="{8BF35FE5-89C4-45A6-9EB8-D72FAD786660}" name="DEBIT" dataDxfId="1" dataCellStyle="Comma"/>
    <tableColumn id="5" xr3:uid="{E46B79E2-7794-4B6F-8DF7-6E3F46970F5F}" name="CREDIT" dataDxfId="0" dataCellStyle="Comma"/>
    <tableColumn id="6" xr3:uid="{F7155CEF-0319-4C19-8038-CAD48E466E97}" name="COMMENTS"/>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ABF75-594A-4AA9-835D-6D98656A3650}">
  <dimension ref="A1:I14"/>
  <sheetViews>
    <sheetView workbookViewId="0">
      <selection activeCell="H14" sqref="H14"/>
    </sheetView>
  </sheetViews>
  <sheetFormatPr defaultRowHeight="15" x14ac:dyDescent="0.25"/>
  <cols>
    <col min="1" max="1" width="9.7109375" bestFit="1" customWidth="1"/>
    <col min="3" max="3" width="9.7109375" bestFit="1" customWidth="1"/>
    <col min="4" max="4" width="17" bestFit="1" customWidth="1"/>
    <col min="5" max="5" width="21.85546875" bestFit="1" customWidth="1"/>
    <col min="6" max="6" width="21.85546875" customWidth="1"/>
    <col min="7" max="7" width="17.7109375" bestFit="1" customWidth="1"/>
    <col min="8" max="8" width="13.7109375" bestFit="1" customWidth="1"/>
  </cols>
  <sheetData>
    <row r="1" spans="1:9" x14ac:dyDescent="0.25">
      <c r="A1" t="s">
        <v>2</v>
      </c>
      <c r="C1" s="1" t="s">
        <v>2</v>
      </c>
      <c r="D1" s="1" t="s">
        <v>16</v>
      </c>
      <c r="E1" s="1" t="s">
        <v>60</v>
      </c>
      <c r="F1" s="1"/>
      <c r="G1" s="1" t="s">
        <v>17</v>
      </c>
      <c r="H1" s="1" t="s">
        <v>16</v>
      </c>
    </row>
    <row r="2" spans="1:9" x14ac:dyDescent="0.25">
      <c r="A2" t="s">
        <v>6</v>
      </c>
      <c r="C2" t="s">
        <v>6</v>
      </c>
      <c r="D2" t="s">
        <v>12</v>
      </c>
      <c r="E2" t="s">
        <v>61</v>
      </c>
      <c r="G2" t="s">
        <v>20</v>
      </c>
      <c r="H2" t="s">
        <v>12</v>
      </c>
    </row>
    <row r="3" spans="1:9" x14ac:dyDescent="0.25">
      <c r="A3" t="s">
        <v>7</v>
      </c>
      <c r="C3" t="s">
        <v>6</v>
      </c>
      <c r="D3" t="s">
        <v>13</v>
      </c>
      <c r="E3" t="s">
        <v>61</v>
      </c>
      <c r="G3" t="s">
        <v>21</v>
      </c>
      <c r="H3" t="s">
        <v>8</v>
      </c>
    </row>
    <row r="4" spans="1:9" x14ac:dyDescent="0.25">
      <c r="A4" t="s">
        <v>8</v>
      </c>
      <c r="C4" t="s">
        <v>7</v>
      </c>
      <c r="D4" t="s">
        <v>14</v>
      </c>
      <c r="E4" t="s">
        <v>61</v>
      </c>
      <c r="G4" t="s">
        <v>22</v>
      </c>
      <c r="H4" t="s">
        <v>12</v>
      </c>
      <c r="I4" t="s">
        <v>23</v>
      </c>
    </row>
    <row r="5" spans="1:9" x14ac:dyDescent="0.25">
      <c r="A5" t="s">
        <v>9</v>
      </c>
      <c r="C5" t="s">
        <v>7</v>
      </c>
      <c r="D5" t="s">
        <v>15</v>
      </c>
      <c r="E5" t="s">
        <v>61</v>
      </c>
      <c r="G5" t="s">
        <v>28</v>
      </c>
      <c r="H5" t="s">
        <v>12</v>
      </c>
    </row>
    <row r="6" spans="1:9" x14ac:dyDescent="0.25">
      <c r="A6" t="s">
        <v>10</v>
      </c>
      <c r="C6" t="s">
        <v>8</v>
      </c>
      <c r="D6" t="s">
        <v>8</v>
      </c>
      <c r="E6" t="s">
        <v>61</v>
      </c>
      <c r="G6" t="s">
        <v>29</v>
      </c>
      <c r="H6" t="s">
        <v>14</v>
      </c>
    </row>
    <row r="7" spans="1:9" x14ac:dyDescent="0.25">
      <c r="C7" t="s">
        <v>9</v>
      </c>
      <c r="D7" t="s">
        <v>9</v>
      </c>
      <c r="E7" t="s">
        <v>62</v>
      </c>
      <c r="G7" t="s">
        <v>33</v>
      </c>
      <c r="H7" t="s">
        <v>10</v>
      </c>
    </row>
    <row r="8" spans="1:9" x14ac:dyDescent="0.25">
      <c r="C8" t="s">
        <v>10</v>
      </c>
      <c r="D8" t="s">
        <v>10</v>
      </c>
      <c r="E8" t="s">
        <v>62</v>
      </c>
      <c r="G8" t="s">
        <v>35</v>
      </c>
      <c r="H8" t="s">
        <v>9</v>
      </c>
    </row>
    <row r="9" spans="1:9" x14ac:dyDescent="0.25">
      <c r="C9" t="s">
        <v>10</v>
      </c>
      <c r="D9" t="s">
        <v>11</v>
      </c>
      <c r="E9" t="s">
        <v>62</v>
      </c>
      <c r="G9" t="s">
        <v>39</v>
      </c>
      <c r="H9" t="s">
        <v>12</v>
      </c>
    </row>
    <row r="10" spans="1:9" x14ac:dyDescent="0.25">
      <c r="G10" t="s">
        <v>42</v>
      </c>
      <c r="H10" t="s">
        <v>9</v>
      </c>
    </row>
    <row r="11" spans="1:9" x14ac:dyDescent="0.25">
      <c r="G11" t="s">
        <v>45</v>
      </c>
      <c r="H11" t="s">
        <v>9</v>
      </c>
    </row>
    <row r="12" spans="1:9" x14ac:dyDescent="0.25">
      <c r="G12" t="s">
        <v>70</v>
      </c>
      <c r="H12" t="s">
        <v>9</v>
      </c>
    </row>
    <row r="13" spans="1:9" x14ac:dyDescent="0.25">
      <c r="G13" t="s">
        <v>71</v>
      </c>
      <c r="H13" t="s">
        <v>14</v>
      </c>
    </row>
    <row r="14" spans="1:9" x14ac:dyDescent="0.25">
      <c r="G14" t="s">
        <v>76</v>
      </c>
      <c r="H14"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B3C06-670D-4883-AC7C-69C09F557CB7}">
  <dimension ref="A1:H31"/>
  <sheetViews>
    <sheetView showGridLines="0" topLeftCell="A24" workbookViewId="0">
      <selection activeCell="E37" sqref="E37"/>
    </sheetView>
  </sheetViews>
  <sheetFormatPr defaultRowHeight="15" x14ac:dyDescent="0.25"/>
  <cols>
    <col min="1" max="1" width="13.5703125" style="2" customWidth="1"/>
    <col min="2" max="2" width="28.5703125" bestFit="1" customWidth="1"/>
    <col min="3" max="3" width="16.7109375" customWidth="1"/>
    <col min="4" max="4" width="19.5703125" style="4" customWidth="1"/>
    <col min="5" max="5" width="21.42578125" style="4" customWidth="1"/>
    <col min="6" max="6" width="30.7109375" customWidth="1"/>
  </cols>
  <sheetData>
    <row r="1" spans="1:8" x14ac:dyDescent="0.25">
      <c r="B1" s="26" t="s">
        <v>56</v>
      </c>
      <c r="C1" s="26"/>
      <c r="D1" s="26"/>
      <c r="E1" s="26"/>
      <c r="H1" t="s">
        <v>18</v>
      </c>
    </row>
    <row r="2" spans="1:8" x14ac:dyDescent="0.25">
      <c r="B2" s="26"/>
      <c r="C2" s="26"/>
      <c r="D2" s="26"/>
      <c r="E2" s="26"/>
      <c r="H2" t="s">
        <v>24</v>
      </c>
    </row>
    <row r="3" spans="1:8" x14ac:dyDescent="0.25">
      <c r="A3" s="3" t="s">
        <v>0</v>
      </c>
      <c r="B3" s="1" t="s">
        <v>1</v>
      </c>
      <c r="C3" s="1" t="s">
        <v>2</v>
      </c>
      <c r="D3" s="5" t="s">
        <v>3</v>
      </c>
      <c r="E3" s="5" t="s">
        <v>4</v>
      </c>
      <c r="F3" s="1" t="s">
        <v>5</v>
      </c>
      <c r="H3" t="s">
        <v>27</v>
      </c>
    </row>
    <row r="4" spans="1:8" x14ac:dyDescent="0.25">
      <c r="A4" s="2">
        <v>46023</v>
      </c>
      <c r="B4" t="s">
        <v>19</v>
      </c>
      <c r="C4" t="s">
        <v>20</v>
      </c>
      <c r="D4" s="4">
        <v>1000000</v>
      </c>
      <c r="H4" t="s">
        <v>31</v>
      </c>
    </row>
    <row r="5" spans="1:8" x14ac:dyDescent="0.25">
      <c r="A5" s="2">
        <v>46023</v>
      </c>
      <c r="B5" t="s">
        <v>19</v>
      </c>
      <c r="C5" t="s">
        <v>21</v>
      </c>
      <c r="E5" s="4">
        <v>1000000</v>
      </c>
      <c r="H5" t="s">
        <v>36</v>
      </c>
    </row>
    <row r="6" spans="1:8" x14ac:dyDescent="0.25">
      <c r="A6" s="2">
        <v>46024</v>
      </c>
      <c r="B6" t="s">
        <v>25</v>
      </c>
      <c r="C6" t="s">
        <v>22</v>
      </c>
      <c r="D6" s="4">
        <v>500000</v>
      </c>
      <c r="F6" t="s">
        <v>26</v>
      </c>
      <c r="H6" t="s">
        <v>38</v>
      </c>
    </row>
    <row r="7" spans="1:8" x14ac:dyDescent="0.25">
      <c r="A7" s="2">
        <v>46024</v>
      </c>
      <c r="B7" t="s">
        <v>25</v>
      </c>
      <c r="C7" t="s">
        <v>20</v>
      </c>
      <c r="E7" s="4">
        <v>500000</v>
      </c>
      <c r="H7" t="s">
        <v>41</v>
      </c>
    </row>
    <row r="8" spans="1:8" x14ac:dyDescent="0.25">
      <c r="A8" s="2">
        <v>46025</v>
      </c>
      <c r="B8" t="s">
        <v>30</v>
      </c>
      <c r="C8" t="s">
        <v>28</v>
      </c>
      <c r="D8" s="4">
        <v>600000</v>
      </c>
      <c r="H8" t="s">
        <v>44</v>
      </c>
    </row>
    <row r="9" spans="1:8" x14ac:dyDescent="0.25">
      <c r="A9" s="2">
        <v>46025</v>
      </c>
      <c r="B9" t="s">
        <v>30</v>
      </c>
      <c r="C9" t="s">
        <v>29</v>
      </c>
      <c r="E9" s="4">
        <v>600000</v>
      </c>
      <c r="H9" t="s">
        <v>47</v>
      </c>
    </row>
    <row r="10" spans="1:8" x14ac:dyDescent="0.25">
      <c r="A10" s="2">
        <v>46026</v>
      </c>
      <c r="B10" t="s">
        <v>32</v>
      </c>
      <c r="C10" t="s">
        <v>28</v>
      </c>
      <c r="D10" s="4">
        <v>200000</v>
      </c>
      <c r="H10" t="s">
        <v>49</v>
      </c>
    </row>
    <row r="11" spans="1:8" x14ac:dyDescent="0.25">
      <c r="A11" s="2">
        <v>46026</v>
      </c>
      <c r="B11" t="s">
        <v>32</v>
      </c>
      <c r="C11" t="s">
        <v>22</v>
      </c>
      <c r="E11" s="4">
        <v>200000</v>
      </c>
    </row>
    <row r="12" spans="1:8" x14ac:dyDescent="0.25">
      <c r="A12" s="2">
        <v>46032</v>
      </c>
      <c r="B12" t="s">
        <v>34</v>
      </c>
      <c r="C12" t="s">
        <v>20</v>
      </c>
      <c r="D12" s="4">
        <v>400000</v>
      </c>
    </row>
    <row r="13" spans="1:8" x14ac:dyDescent="0.25">
      <c r="A13" s="2">
        <v>46032</v>
      </c>
      <c r="B13" t="s">
        <v>34</v>
      </c>
      <c r="C13" t="s">
        <v>33</v>
      </c>
      <c r="E13" s="4">
        <v>400000</v>
      </c>
    </row>
    <row r="14" spans="1:8" x14ac:dyDescent="0.25">
      <c r="A14" s="2">
        <v>46032</v>
      </c>
      <c r="B14" t="s">
        <v>37</v>
      </c>
      <c r="C14" t="s">
        <v>35</v>
      </c>
      <c r="D14" s="4">
        <v>300000</v>
      </c>
    </row>
    <row r="15" spans="1:8" x14ac:dyDescent="0.25">
      <c r="A15" s="2">
        <v>46032</v>
      </c>
      <c r="B15" t="s">
        <v>37</v>
      </c>
      <c r="C15" t="s">
        <v>28</v>
      </c>
      <c r="E15" s="4">
        <v>300000</v>
      </c>
    </row>
    <row r="16" spans="1:8" x14ac:dyDescent="0.25">
      <c r="A16" s="2">
        <v>46037</v>
      </c>
      <c r="B16" t="s">
        <v>40</v>
      </c>
      <c r="C16" t="s">
        <v>39</v>
      </c>
      <c r="D16" s="4">
        <v>300000</v>
      </c>
    </row>
    <row r="17" spans="1:5" x14ac:dyDescent="0.25">
      <c r="A17" s="2">
        <v>46037</v>
      </c>
      <c r="B17" t="s">
        <v>40</v>
      </c>
      <c r="C17" t="s">
        <v>33</v>
      </c>
      <c r="E17" s="4">
        <v>300000</v>
      </c>
    </row>
    <row r="18" spans="1:5" x14ac:dyDescent="0.25">
      <c r="A18" s="2">
        <v>46037</v>
      </c>
      <c r="B18" t="s">
        <v>37</v>
      </c>
      <c r="C18" t="s">
        <v>35</v>
      </c>
      <c r="D18" s="4">
        <v>150000</v>
      </c>
    </row>
    <row r="19" spans="1:5" x14ac:dyDescent="0.25">
      <c r="A19" s="2">
        <v>46037</v>
      </c>
      <c r="B19" t="s">
        <v>37</v>
      </c>
      <c r="C19" t="s">
        <v>28</v>
      </c>
      <c r="E19" s="4">
        <v>150000</v>
      </c>
    </row>
    <row r="20" spans="1:5" x14ac:dyDescent="0.25">
      <c r="A20" s="2">
        <v>46037</v>
      </c>
      <c r="B20" t="s">
        <v>43</v>
      </c>
      <c r="C20" t="s">
        <v>42</v>
      </c>
      <c r="D20" s="4">
        <v>14000</v>
      </c>
    </row>
    <row r="21" spans="1:5" x14ac:dyDescent="0.25">
      <c r="A21" s="2">
        <v>46037</v>
      </c>
      <c r="B21" t="s">
        <v>43</v>
      </c>
      <c r="C21" t="s">
        <v>22</v>
      </c>
      <c r="E21" s="4">
        <v>14000</v>
      </c>
    </row>
    <row r="22" spans="1:5" x14ac:dyDescent="0.25">
      <c r="A22" s="2">
        <v>46052</v>
      </c>
      <c r="B22" t="s">
        <v>46</v>
      </c>
      <c r="C22" t="s">
        <v>45</v>
      </c>
      <c r="D22" s="4">
        <v>100000</v>
      </c>
    </row>
    <row r="23" spans="1:5" x14ac:dyDescent="0.25">
      <c r="A23" s="2">
        <v>46052</v>
      </c>
      <c r="B23" t="s">
        <v>46</v>
      </c>
      <c r="C23" t="s">
        <v>20</v>
      </c>
      <c r="E23" s="4">
        <v>100000</v>
      </c>
    </row>
    <row r="24" spans="1:5" x14ac:dyDescent="0.25">
      <c r="A24" s="2">
        <v>46055</v>
      </c>
      <c r="B24" t="s">
        <v>48</v>
      </c>
      <c r="C24" t="s">
        <v>29</v>
      </c>
      <c r="D24" s="4">
        <v>100000</v>
      </c>
    </row>
    <row r="25" spans="1:5" x14ac:dyDescent="0.25">
      <c r="A25" s="2">
        <v>46055</v>
      </c>
      <c r="B25" t="s">
        <v>48</v>
      </c>
      <c r="C25" t="s">
        <v>20</v>
      </c>
      <c r="E25" s="4">
        <v>100000</v>
      </c>
    </row>
    <row r="26" spans="1:5" x14ac:dyDescent="0.25">
      <c r="A26" s="2">
        <v>46059</v>
      </c>
      <c r="B26" t="s">
        <v>50</v>
      </c>
      <c r="C26" t="s">
        <v>22</v>
      </c>
      <c r="D26" s="4">
        <v>150000</v>
      </c>
    </row>
    <row r="27" spans="1:5" x14ac:dyDescent="0.25">
      <c r="A27" s="2">
        <v>46059</v>
      </c>
      <c r="B27" t="s">
        <v>50</v>
      </c>
      <c r="C27" t="s">
        <v>39</v>
      </c>
      <c r="E27" s="4">
        <v>150000</v>
      </c>
    </row>
    <row r="28" spans="1:5" x14ac:dyDescent="0.25">
      <c r="A28" s="2">
        <v>46063</v>
      </c>
      <c r="B28" t="s">
        <v>77</v>
      </c>
      <c r="C28" t="s">
        <v>76</v>
      </c>
      <c r="D28" s="4">
        <v>100000</v>
      </c>
    </row>
    <row r="29" spans="1:5" x14ac:dyDescent="0.25">
      <c r="A29" s="2">
        <v>46063</v>
      </c>
      <c r="B29" t="s">
        <v>77</v>
      </c>
      <c r="C29" t="s">
        <v>20</v>
      </c>
      <c r="E29" s="4">
        <v>100000</v>
      </c>
    </row>
    <row r="30" spans="1:5" x14ac:dyDescent="0.25">
      <c r="A30" s="2">
        <v>46081</v>
      </c>
      <c r="B30" t="s">
        <v>72</v>
      </c>
      <c r="C30" t="s">
        <v>70</v>
      </c>
      <c r="D30" s="4">
        <v>20400</v>
      </c>
    </row>
    <row r="31" spans="1:5" x14ac:dyDescent="0.25">
      <c r="A31" s="2">
        <v>46081</v>
      </c>
      <c r="B31" t="s">
        <v>72</v>
      </c>
      <c r="C31" t="s">
        <v>71</v>
      </c>
      <c r="E31" s="4">
        <v>20400</v>
      </c>
    </row>
  </sheetData>
  <mergeCells count="1">
    <mergeCell ref="B1:E2"/>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BCE8393-BC82-450F-A9B6-DBD7ED189574}">
          <x14:formula1>
            <xm:f>'CHART OF ACCOUNT'!$G:$G</xm:f>
          </x14:formula1>
          <xm:sqref>C3:C1048576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CF809-A6B1-469A-B6B9-C60FB899A92C}">
  <dimension ref="A2:F10"/>
  <sheetViews>
    <sheetView showGridLines="0" workbookViewId="0">
      <selection activeCell="B14" sqref="B14"/>
    </sheetView>
  </sheetViews>
  <sheetFormatPr defaultRowHeight="15" x14ac:dyDescent="0.25"/>
  <cols>
    <col min="1" max="1" width="21.42578125" bestFit="1" customWidth="1"/>
    <col min="2" max="2" width="31.140625" customWidth="1"/>
    <col min="3" max="3" width="23.5703125" bestFit="1" customWidth="1"/>
    <col min="4" max="4" width="20" customWidth="1"/>
    <col min="5" max="5" width="22.5703125" customWidth="1"/>
    <col min="6" max="6" width="18.28515625" customWidth="1"/>
  </cols>
  <sheetData>
    <row r="2" spans="1:6" ht="51" x14ac:dyDescent="1">
      <c r="A2" s="10" t="str">
        <f>C4</f>
        <v>Cash</v>
      </c>
      <c r="C2" s="10" t="str">
        <f>VLOOKUP(A2,'CHART OF ACCOUNT'!G:H,2,0)</f>
        <v>Current Asset</v>
      </c>
    </row>
    <row r="3" spans="1:6" x14ac:dyDescent="0.25">
      <c r="A3" s="6" t="s">
        <v>0</v>
      </c>
      <c r="B3" s="6" t="s">
        <v>1</v>
      </c>
      <c r="C3" s="6" t="s">
        <v>2</v>
      </c>
      <c r="D3" t="s">
        <v>52</v>
      </c>
      <c r="E3" t="s">
        <v>53</v>
      </c>
      <c r="F3" t="s">
        <v>54</v>
      </c>
    </row>
    <row r="4" spans="1:6" x14ac:dyDescent="0.25">
      <c r="A4" s="2">
        <v>46023</v>
      </c>
      <c r="B4" t="s">
        <v>19</v>
      </c>
      <c r="C4" t="s">
        <v>20</v>
      </c>
      <c r="D4" s="8">
        <v>1000000</v>
      </c>
      <c r="E4" s="9"/>
      <c r="F4" s="9">
        <v>1000000</v>
      </c>
    </row>
    <row r="5" spans="1:6" x14ac:dyDescent="0.25">
      <c r="A5" s="2">
        <v>46024</v>
      </c>
      <c r="B5" t="s">
        <v>25</v>
      </c>
      <c r="C5" t="s">
        <v>20</v>
      </c>
      <c r="D5" s="8"/>
      <c r="E5" s="9">
        <v>500000</v>
      </c>
      <c r="F5" s="9">
        <v>-500000</v>
      </c>
    </row>
    <row r="6" spans="1:6" x14ac:dyDescent="0.25">
      <c r="A6" s="2">
        <v>46032</v>
      </c>
      <c r="B6" t="s">
        <v>34</v>
      </c>
      <c r="C6" t="s">
        <v>20</v>
      </c>
      <c r="D6" s="8">
        <v>400000</v>
      </c>
      <c r="E6" s="9"/>
      <c r="F6" s="9">
        <v>400000</v>
      </c>
    </row>
    <row r="7" spans="1:6" x14ac:dyDescent="0.25">
      <c r="A7" s="2">
        <v>46052</v>
      </c>
      <c r="B7" t="s">
        <v>46</v>
      </c>
      <c r="C7" t="s">
        <v>20</v>
      </c>
      <c r="D7" s="8"/>
      <c r="E7" s="9">
        <v>100000</v>
      </c>
      <c r="F7" s="9">
        <v>-100000</v>
      </c>
    </row>
    <row r="8" spans="1:6" x14ac:dyDescent="0.25">
      <c r="A8" s="2">
        <v>46055</v>
      </c>
      <c r="B8" t="s">
        <v>48</v>
      </c>
      <c r="C8" t="s">
        <v>20</v>
      </c>
      <c r="D8" s="8"/>
      <c r="E8" s="9">
        <v>100000</v>
      </c>
      <c r="F8" s="9">
        <v>-100000</v>
      </c>
    </row>
    <row r="9" spans="1:6" x14ac:dyDescent="0.25">
      <c r="A9" s="2">
        <v>46063</v>
      </c>
      <c r="B9" t="s">
        <v>77</v>
      </c>
      <c r="C9" t="s">
        <v>20</v>
      </c>
      <c r="D9" s="8"/>
      <c r="E9" s="9">
        <v>100000</v>
      </c>
      <c r="F9" s="9">
        <v>-100000</v>
      </c>
    </row>
    <row r="10" spans="1:6" x14ac:dyDescent="0.25">
      <c r="A10" s="2" t="s">
        <v>51</v>
      </c>
      <c r="D10" s="8">
        <v>1400000</v>
      </c>
      <c r="E10" s="9">
        <v>800000</v>
      </c>
      <c r="F10" s="9">
        <v>600000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455F8-48E1-4FEB-B9F4-BB193AA8E1D0}">
  <dimension ref="A2:D17"/>
  <sheetViews>
    <sheetView showGridLines="0" tabSelected="1" workbookViewId="0">
      <selection activeCell="A8" sqref="A8"/>
    </sheetView>
  </sheetViews>
  <sheetFormatPr defaultRowHeight="15" x14ac:dyDescent="0.25"/>
  <cols>
    <col min="1" max="1" width="21.42578125" bestFit="1" customWidth="1"/>
    <col min="2" max="2" width="31.140625" customWidth="1"/>
    <col min="3" max="3" width="23.5703125" bestFit="1" customWidth="1"/>
    <col min="4" max="4" width="20" customWidth="1"/>
    <col min="5" max="5" width="22.5703125" customWidth="1"/>
    <col min="6" max="6" width="18.28515625" customWidth="1"/>
    <col min="7" max="7" width="19.42578125" bestFit="1" customWidth="1"/>
  </cols>
  <sheetData>
    <row r="2" spans="1:4" ht="51" x14ac:dyDescent="1">
      <c r="A2" s="10" t="s">
        <v>55</v>
      </c>
      <c r="C2" s="10"/>
    </row>
    <row r="3" spans="1:4" x14ac:dyDescent="0.25">
      <c r="A3" s="6" t="s">
        <v>2</v>
      </c>
      <c r="B3" t="s">
        <v>52</v>
      </c>
      <c r="C3" t="s">
        <v>53</v>
      </c>
      <c r="D3" t="s">
        <v>54</v>
      </c>
    </row>
    <row r="4" spans="1:4" x14ac:dyDescent="0.25">
      <c r="A4" t="s">
        <v>22</v>
      </c>
      <c r="B4" s="8">
        <v>650000</v>
      </c>
      <c r="C4" s="9">
        <v>214000</v>
      </c>
      <c r="D4" s="9">
        <v>436000</v>
      </c>
    </row>
    <row r="5" spans="1:4" x14ac:dyDescent="0.25">
      <c r="A5" t="s">
        <v>20</v>
      </c>
      <c r="B5" s="8">
        <v>1400000</v>
      </c>
      <c r="C5" s="9">
        <v>800000</v>
      </c>
      <c r="D5" s="9">
        <v>600000</v>
      </c>
    </row>
    <row r="6" spans="1:4" x14ac:dyDescent="0.25">
      <c r="A6" t="s">
        <v>35</v>
      </c>
      <c r="B6" s="8">
        <v>450000</v>
      </c>
      <c r="C6" s="9"/>
      <c r="D6" s="9">
        <v>450000</v>
      </c>
    </row>
    <row r="7" spans="1:4" x14ac:dyDescent="0.25">
      <c r="A7" t="s">
        <v>42</v>
      </c>
      <c r="B7" s="8">
        <v>14000</v>
      </c>
      <c r="C7" s="9"/>
      <c r="D7" s="9">
        <v>14000</v>
      </c>
    </row>
    <row r="8" spans="1:4" x14ac:dyDescent="0.25">
      <c r="A8" t="s">
        <v>21</v>
      </c>
      <c r="B8" s="8"/>
      <c r="C8" s="9">
        <v>1000000</v>
      </c>
      <c r="D8" s="9">
        <v>-1000000</v>
      </c>
    </row>
    <row r="9" spans="1:4" x14ac:dyDescent="0.25">
      <c r="A9" t="s">
        <v>28</v>
      </c>
      <c r="B9" s="8">
        <v>800000</v>
      </c>
      <c r="C9" s="9">
        <v>450000</v>
      </c>
      <c r="D9" s="9">
        <v>350000</v>
      </c>
    </row>
    <row r="10" spans="1:4" x14ac:dyDescent="0.25">
      <c r="A10" t="s">
        <v>39</v>
      </c>
      <c r="B10" s="8">
        <v>300000</v>
      </c>
      <c r="C10" s="9">
        <v>150000</v>
      </c>
      <c r="D10" s="9">
        <v>150000</v>
      </c>
    </row>
    <row r="11" spans="1:4" x14ac:dyDescent="0.25">
      <c r="A11" t="s">
        <v>29</v>
      </c>
      <c r="B11" s="8">
        <v>100000</v>
      </c>
      <c r="C11" s="9">
        <v>600000</v>
      </c>
      <c r="D11" s="9">
        <v>-500000</v>
      </c>
    </row>
    <row r="12" spans="1:4" x14ac:dyDescent="0.25">
      <c r="A12" t="s">
        <v>45</v>
      </c>
      <c r="B12" s="8">
        <v>100000</v>
      </c>
      <c r="C12" s="9"/>
      <c r="D12" s="9">
        <v>100000</v>
      </c>
    </row>
    <row r="13" spans="1:4" x14ac:dyDescent="0.25">
      <c r="A13" t="s">
        <v>33</v>
      </c>
      <c r="B13" s="8"/>
      <c r="C13" s="9">
        <v>700000</v>
      </c>
      <c r="D13" s="9">
        <v>-700000</v>
      </c>
    </row>
    <row r="14" spans="1:4" x14ac:dyDescent="0.25">
      <c r="A14" t="s">
        <v>70</v>
      </c>
      <c r="B14" s="8">
        <v>20400</v>
      </c>
      <c r="C14" s="9"/>
      <c r="D14" s="9">
        <v>20400</v>
      </c>
    </row>
    <row r="15" spans="1:4" x14ac:dyDescent="0.25">
      <c r="A15" t="s">
        <v>71</v>
      </c>
      <c r="B15" s="8"/>
      <c r="C15" s="9">
        <v>20400</v>
      </c>
      <c r="D15" s="9">
        <v>-20400</v>
      </c>
    </row>
    <row r="16" spans="1:4" x14ac:dyDescent="0.25">
      <c r="A16" t="s">
        <v>76</v>
      </c>
      <c r="B16" s="8">
        <v>100000</v>
      </c>
      <c r="C16" s="9"/>
      <c r="D16" s="9">
        <v>100000</v>
      </c>
    </row>
    <row r="17" spans="1:4" x14ac:dyDescent="0.25">
      <c r="A17" t="s">
        <v>51</v>
      </c>
      <c r="B17" s="8">
        <v>3934400</v>
      </c>
      <c r="C17" s="9">
        <v>3934400</v>
      </c>
      <c r="D17" s="9">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6F0CE-889B-4C56-ADD7-F0D1255D3E86}">
  <dimension ref="B1:I17"/>
  <sheetViews>
    <sheetView showGridLines="0" workbookViewId="0">
      <selection activeCell="B2" sqref="B2:I2"/>
    </sheetView>
  </sheetViews>
  <sheetFormatPr defaultRowHeight="15" x14ac:dyDescent="0.25"/>
  <cols>
    <col min="1" max="1" width="3.7109375" customWidth="1"/>
    <col min="3" max="3" width="27.5703125" bestFit="1" customWidth="1"/>
    <col min="6" max="6" width="13.42578125" bestFit="1" customWidth="1"/>
    <col min="7" max="7" width="6" customWidth="1"/>
    <col min="8" max="8" width="1.28515625" customWidth="1"/>
    <col min="9" max="9" width="0.7109375" customWidth="1"/>
  </cols>
  <sheetData>
    <row r="1" spans="2:9" ht="15.75" thickBot="1" x14ac:dyDescent="0.3"/>
    <row r="2" spans="2:9" ht="51.75" x14ac:dyDescent="0.25">
      <c r="B2" s="27" t="s">
        <v>57</v>
      </c>
      <c r="C2" s="28"/>
      <c r="D2" s="28"/>
      <c r="E2" s="28"/>
      <c r="F2" s="28"/>
      <c r="G2" s="28"/>
      <c r="H2" s="28"/>
      <c r="I2" s="29"/>
    </row>
    <row r="3" spans="2:9" x14ac:dyDescent="0.25">
      <c r="B3" s="30" t="s">
        <v>58</v>
      </c>
      <c r="C3" s="31"/>
      <c r="D3" s="31"/>
      <c r="E3" s="31"/>
      <c r="F3" s="31"/>
      <c r="G3" s="31"/>
      <c r="H3" s="31"/>
      <c r="I3" s="32"/>
    </row>
    <row r="4" spans="2:9" ht="17.25" x14ac:dyDescent="0.4">
      <c r="B4" s="33" t="s">
        <v>59</v>
      </c>
      <c r="C4" s="34"/>
      <c r="D4" s="34"/>
      <c r="E4" s="34"/>
      <c r="F4" s="34"/>
      <c r="G4" s="34"/>
      <c r="H4" s="34"/>
      <c r="I4" s="35"/>
    </row>
    <row r="5" spans="2:9" x14ac:dyDescent="0.25">
      <c r="B5" s="14"/>
      <c r="I5" s="15"/>
    </row>
    <row r="6" spans="2:9" ht="24" customHeight="1" x14ac:dyDescent="0.25">
      <c r="B6" s="14"/>
      <c r="C6" s="7" t="s">
        <v>63</v>
      </c>
      <c r="F6">
        <f>VLOOKUP(C6,'TRAIL BALANCE'!$A$4:$D$13,4,0)*-1</f>
        <v>700000</v>
      </c>
      <c r="I6" s="15"/>
    </row>
    <row r="7" spans="2:9" ht="24" customHeight="1" x14ac:dyDescent="0.25">
      <c r="B7" s="14"/>
      <c r="C7" s="13" t="s">
        <v>35</v>
      </c>
      <c r="F7" s="9">
        <f>VLOOKUP(C7,'TRAIL BALANCE'!$A$4:$D$13,4,0)*-1</f>
        <v>-450000</v>
      </c>
      <c r="I7" s="15"/>
    </row>
    <row r="8" spans="2:9" ht="24" customHeight="1" x14ac:dyDescent="0.25">
      <c r="B8" s="14"/>
      <c r="C8" s="7" t="s">
        <v>64</v>
      </c>
      <c r="F8" s="11">
        <f>F6+F7</f>
        <v>250000</v>
      </c>
      <c r="I8" s="15"/>
    </row>
    <row r="9" spans="2:9" ht="0.75" customHeight="1" x14ac:dyDescent="0.25">
      <c r="B9" s="14"/>
      <c r="I9" s="15"/>
    </row>
    <row r="10" spans="2:9" ht="24" customHeight="1" x14ac:dyDescent="0.3">
      <c r="B10" s="14"/>
      <c r="C10" s="16" t="s">
        <v>65</v>
      </c>
      <c r="I10" s="15"/>
    </row>
    <row r="11" spans="2:9" ht="0.75" customHeight="1" x14ac:dyDescent="0.25">
      <c r="B11" s="14"/>
      <c r="I11" s="15"/>
    </row>
    <row r="12" spans="2:9" ht="24" customHeight="1" x14ac:dyDescent="0.25">
      <c r="B12" s="14"/>
      <c r="C12" s="7" t="s">
        <v>45</v>
      </c>
      <c r="E12">
        <f>VLOOKUP(C12,'TRAIL BALANCE'!$A$4:$D$13,4,0)</f>
        <v>100000</v>
      </c>
      <c r="I12" s="15"/>
    </row>
    <row r="13" spans="2:9" ht="24" customHeight="1" x14ac:dyDescent="0.25">
      <c r="B13" s="14"/>
      <c r="C13" s="13" t="s">
        <v>42</v>
      </c>
      <c r="E13">
        <f>VLOOKUP(C13,'TRAIL BALANCE'!$A$4:$D$13,4,0)</f>
        <v>14000</v>
      </c>
      <c r="I13" s="15"/>
    </row>
    <row r="14" spans="2:9" ht="24" customHeight="1" x14ac:dyDescent="0.25">
      <c r="B14" s="14"/>
      <c r="C14" s="13" t="s">
        <v>66</v>
      </c>
      <c r="D14" s="17"/>
      <c r="E14" s="12"/>
      <c r="F14" s="13">
        <f>SUM(E12:E13)*-1</f>
        <v>-114000</v>
      </c>
      <c r="I14" s="15"/>
    </row>
    <row r="15" spans="2:9" ht="24" customHeight="1" x14ac:dyDescent="0.25">
      <c r="B15" s="14"/>
      <c r="C15" s="7" t="s">
        <v>67</v>
      </c>
      <c r="D15" s="7"/>
      <c r="E15" s="7"/>
      <c r="F15" s="11">
        <f>F8+F14</f>
        <v>136000</v>
      </c>
      <c r="I15" s="15"/>
    </row>
    <row r="16" spans="2:9" ht="24" customHeight="1" x14ac:dyDescent="0.25">
      <c r="B16" s="14"/>
      <c r="C16" t="s">
        <v>68</v>
      </c>
      <c r="F16" s="9">
        <f>(F15*15%)*-1</f>
        <v>-20400</v>
      </c>
      <c r="I16" s="15"/>
    </row>
    <row r="17" spans="2:9" ht="24" customHeight="1" thickBot="1" x14ac:dyDescent="0.3">
      <c r="B17" s="18"/>
      <c r="C17" s="19" t="s">
        <v>69</v>
      </c>
      <c r="D17" s="19"/>
      <c r="E17" s="19"/>
      <c r="F17" s="20">
        <f>F15+F16</f>
        <v>115600</v>
      </c>
      <c r="G17" s="21"/>
      <c r="H17" s="21"/>
      <c r="I17" s="22"/>
    </row>
  </sheetData>
  <mergeCells count="3">
    <mergeCell ref="B2:I2"/>
    <mergeCell ref="B3:I3"/>
    <mergeCell ref="B4:I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AA0D-86DD-42AE-B14E-C11F38B57FDF}">
  <dimension ref="A1:J23"/>
  <sheetViews>
    <sheetView showGridLines="0" workbookViewId="0">
      <selection activeCell="M15" sqref="M15"/>
    </sheetView>
  </sheetViews>
  <sheetFormatPr defaultRowHeight="15" x14ac:dyDescent="0.25"/>
  <cols>
    <col min="3" max="3" width="10.85546875" customWidth="1"/>
    <col min="8" max="8" width="10.85546875" customWidth="1"/>
    <col min="9" max="10" width="13.42578125" style="9" bestFit="1" customWidth="1"/>
  </cols>
  <sheetData>
    <row r="1" spans="1:10" ht="26.25" x14ac:dyDescent="0.25">
      <c r="A1" s="50" t="s">
        <v>57</v>
      </c>
      <c r="B1" s="50"/>
      <c r="C1" s="50"/>
      <c r="D1" s="50"/>
      <c r="E1" s="50"/>
      <c r="F1" s="50"/>
      <c r="G1" s="50"/>
      <c r="H1" s="50"/>
      <c r="I1" s="50"/>
      <c r="J1" s="50"/>
    </row>
    <row r="2" spans="1:10" ht="23.25" x14ac:dyDescent="0.25">
      <c r="A2" s="51" t="s">
        <v>73</v>
      </c>
      <c r="B2" s="51"/>
      <c r="C2" s="51"/>
      <c r="D2" s="51"/>
      <c r="E2" s="51"/>
      <c r="F2" s="51"/>
      <c r="G2" s="51"/>
      <c r="H2" s="51"/>
      <c r="I2" s="51"/>
      <c r="J2" s="51"/>
    </row>
    <row r="3" spans="1:10" ht="21.75" thickBot="1" x14ac:dyDescent="0.3">
      <c r="A3" s="52" t="s">
        <v>74</v>
      </c>
      <c r="B3" s="52"/>
      <c r="C3" s="52"/>
      <c r="D3" s="52"/>
      <c r="E3" s="52"/>
      <c r="F3" s="52"/>
      <c r="G3" s="52"/>
      <c r="H3" s="52"/>
      <c r="I3" s="52"/>
      <c r="J3" s="52"/>
    </row>
    <row r="4" spans="1:10" x14ac:dyDescent="0.25">
      <c r="A4" s="23"/>
      <c r="B4" s="24"/>
      <c r="C4" s="24"/>
      <c r="D4" s="24"/>
      <c r="E4" s="24"/>
      <c r="F4" s="23"/>
      <c r="G4" s="24"/>
      <c r="H4" s="24"/>
      <c r="I4" s="39"/>
      <c r="J4" s="42"/>
    </row>
    <row r="5" spans="1:10" ht="22.5" x14ac:dyDescent="0.45">
      <c r="A5" s="25" t="s">
        <v>6</v>
      </c>
      <c r="B5" s="38"/>
      <c r="C5" s="38"/>
      <c r="D5" s="38"/>
      <c r="E5" s="38"/>
      <c r="F5" s="25" t="s">
        <v>75</v>
      </c>
      <c r="G5" s="38"/>
      <c r="H5" s="38"/>
      <c r="I5" s="40"/>
      <c r="J5" s="43"/>
    </row>
    <row r="6" spans="1:10" ht="22.5" x14ac:dyDescent="0.45">
      <c r="A6" s="45" t="s">
        <v>79</v>
      </c>
      <c r="B6" s="38"/>
      <c r="C6" s="38"/>
      <c r="D6" s="38"/>
      <c r="E6" s="38"/>
      <c r="F6" s="25" t="s">
        <v>88</v>
      </c>
      <c r="G6" s="38"/>
      <c r="H6" s="38"/>
      <c r="I6" s="40"/>
      <c r="J6" s="43"/>
    </row>
    <row r="7" spans="1:10" x14ac:dyDescent="0.25">
      <c r="A7" s="14" t="s">
        <v>76</v>
      </c>
      <c r="B7" s="38"/>
      <c r="C7" s="38"/>
      <c r="D7" s="38">
        <f>VLOOKUP(A7,'TRAIL BALANCE'!$A$4:$D$16,4,0)</f>
        <v>100000</v>
      </c>
      <c r="E7" s="38"/>
      <c r="F7" s="45" t="s">
        <v>84</v>
      </c>
      <c r="G7" s="38"/>
      <c r="H7" s="38"/>
      <c r="I7" s="40"/>
      <c r="J7" s="43">
        <v>0</v>
      </c>
    </row>
    <row r="8" spans="1:10" x14ac:dyDescent="0.25">
      <c r="A8" s="36" t="s">
        <v>80</v>
      </c>
      <c r="B8" s="38"/>
      <c r="C8" s="38"/>
      <c r="D8" s="38"/>
      <c r="E8" s="49">
        <f>SUM(D7)</f>
        <v>100000</v>
      </c>
      <c r="F8" s="45" t="s">
        <v>85</v>
      </c>
      <c r="G8" s="38"/>
      <c r="H8" s="38"/>
      <c r="I8" s="40"/>
      <c r="J8" s="43"/>
    </row>
    <row r="9" spans="1:10" x14ac:dyDescent="0.25">
      <c r="A9" s="14"/>
      <c r="B9" s="38"/>
      <c r="C9" s="38"/>
      <c r="D9" s="38"/>
      <c r="E9" s="38"/>
      <c r="F9" s="14" t="s">
        <v>29</v>
      </c>
      <c r="G9" s="38"/>
      <c r="H9" s="38"/>
      <c r="I9" s="40">
        <f>VLOOKUP(F9,'TRAIL BALANCE'!$A$4:$D$16,4,0)*-1</f>
        <v>500000</v>
      </c>
      <c r="J9" s="43"/>
    </row>
    <row r="10" spans="1:10" x14ac:dyDescent="0.25">
      <c r="A10" s="46" t="s">
        <v>81</v>
      </c>
      <c r="B10" s="38"/>
      <c r="C10" s="38"/>
      <c r="D10" s="38"/>
      <c r="E10" s="38"/>
      <c r="F10" s="14" t="s">
        <v>71</v>
      </c>
      <c r="G10" s="38"/>
      <c r="H10" s="38"/>
      <c r="I10" s="40">
        <f>VLOOKUP(F10,'TRAIL BALANCE'!$A$4:$D$16,4,0)*-1</f>
        <v>20400</v>
      </c>
      <c r="J10" s="43"/>
    </row>
    <row r="11" spans="1:10" x14ac:dyDescent="0.25">
      <c r="A11" s="14" t="s">
        <v>22</v>
      </c>
      <c r="B11" s="38"/>
      <c r="C11" s="38"/>
      <c r="D11" s="38">
        <f>VLOOKUP(A11,'TRAIL BALANCE'!$A$4:$D$16,4,0)</f>
        <v>436000</v>
      </c>
      <c r="E11" s="38"/>
      <c r="F11" s="14" t="s">
        <v>87</v>
      </c>
      <c r="G11" s="38"/>
      <c r="H11" s="38"/>
      <c r="I11" s="40"/>
      <c r="J11" s="49">
        <f>SUM(I9:I10)</f>
        <v>520400</v>
      </c>
    </row>
    <row r="12" spans="1:10" x14ac:dyDescent="0.25">
      <c r="A12" s="14" t="s">
        <v>20</v>
      </c>
      <c r="B12" s="38"/>
      <c r="C12" s="38"/>
      <c r="D12" s="38">
        <f>VLOOKUP(A12,'TRAIL BALANCE'!$A$4:$D$16,4,0)</f>
        <v>600000</v>
      </c>
      <c r="E12" s="38"/>
      <c r="F12" s="14"/>
      <c r="G12" s="38"/>
      <c r="H12" s="38"/>
      <c r="I12" s="40"/>
      <c r="J12" s="43"/>
    </row>
    <row r="13" spans="1:10" x14ac:dyDescent="0.25">
      <c r="A13" s="14" t="s">
        <v>28</v>
      </c>
      <c r="B13" s="38"/>
      <c r="C13" s="38"/>
      <c r="D13" s="38">
        <f>VLOOKUP(A13,'TRAIL BALANCE'!$A$4:$D$16,4,0)</f>
        <v>350000</v>
      </c>
      <c r="E13" s="38"/>
      <c r="F13" s="36" t="s">
        <v>86</v>
      </c>
      <c r="G13" s="38"/>
      <c r="H13" s="38"/>
      <c r="I13" s="40"/>
      <c r="J13" s="49">
        <f>SUM(J11,J7)</f>
        <v>520400</v>
      </c>
    </row>
    <row r="14" spans="1:10" x14ac:dyDescent="0.25">
      <c r="A14" s="14" t="s">
        <v>39</v>
      </c>
      <c r="B14" s="38"/>
      <c r="C14" s="38"/>
      <c r="D14" s="38">
        <f>VLOOKUP(A14,'TRAIL BALANCE'!$A$4:$D$16,4,0)</f>
        <v>150000</v>
      </c>
      <c r="E14" s="38"/>
      <c r="F14" s="14"/>
      <c r="G14" s="38"/>
      <c r="H14" s="38"/>
      <c r="I14" s="40"/>
      <c r="J14" s="43"/>
    </row>
    <row r="15" spans="1:10" x14ac:dyDescent="0.25">
      <c r="A15" s="36" t="s">
        <v>82</v>
      </c>
      <c r="B15" s="38"/>
      <c r="C15" s="38"/>
      <c r="D15" s="38"/>
      <c r="E15" s="49">
        <f>SUM(D11:D14)</f>
        <v>1536000</v>
      </c>
      <c r="F15" s="14"/>
      <c r="G15" s="38"/>
      <c r="H15" s="38"/>
      <c r="I15" s="40"/>
      <c r="J15" s="43"/>
    </row>
    <row r="16" spans="1:10" ht="22.5" x14ac:dyDescent="0.45">
      <c r="A16" s="14"/>
      <c r="B16" s="38"/>
      <c r="C16" s="38"/>
      <c r="D16" s="38"/>
      <c r="E16" s="38"/>
      <c r="F16" s="25" t="s">
        <v>8</v>
      </c>
      <c r="G16" s="38"/>
      <c r="H16" s="38"/>
      <c r="I16" s="40"/>
      <c r="J16" s="43"/>
    </row>
    <row r="17" spans="1:10" x14ac:dyDescent="0.25">
      <c r="A17" s="14"/>
      <c r="B17" s="38"/>
      <c r="C17" s="38"/>
      <c r="D17" s="38"/>
      <c r="E17" s="38"/>
      <c r="F17" s="14" t="s">
        <v>21</v>
      </c>
      <c r="G17" s="38"/>
      <c r="H17" s="38"/>
      <c r="I17" s="40">
        <f>VLOOKUP(F17,'TRAIL BALANCE'!$A$4:$D$16,4,0)*-1</f>
        <v>1000000</v>
      </c>
      <c r="J17" s="43"/>
    </row>
    <row r="18" spans="1:10" x14ac:dyDescent="0.25">
      <c r="B18" s="47"/>
      <c r="C18" s="47"/>
      <c r="D18" s="47"/>
      <c r="F18" s="14" t="s">
        <v>90</v>
      </c>
      <c r="G18" s="38"/>
      <c r="H18" s="38"/>
      <c r="I18" s="40">
        <f>'INCOME STATMENT'!F17</f>
        <v>115600</v>
      </c>
      <c r="J18" s="43"/>
    </row>
    <row r="19" spans="1:10" x14ac:dyDescent="0.25">
      <c r="A19" s="14"/>
      <c r="B19" s="38"/>
      <c r="C19" s="38"/>
      <c r="D19" s="38"/>
      <c r="E19" s="38"/>
      <c r="F19" s="36" t="s">
        <v>89</v>
      </c>
      <c r="G19" s="38"/>
      <c r="H19" s="38"/>
      <c r="I19" s="40"/>
      <c r="J19" s="49">
        <f>SUM(I17:I18)</f>
        <v>1115600</v>
      </c>
    </row>
    <row r="20" spans="1:10" x14ac:dyDescent="0.25">
      <c r="A20" s="14"/>
      <c r="B20" s="38"/>
      <c r="C20" s="38"/>
      <c r="D20" s="38"/>
      <c r="E20" s="38"/>
      <c r="F20" s="14"/>
      <c r="G20" s="38"/>
      <c r="H20" s="38"/>
      <c r="I20" s="40"/>
      <c r="J20" s="43"/>
    </row>
    <row r="21" spans="1:10" ht="19.5" thickBot="1" x14ac:dyDescent="0.35">
      <c r="A21" s="48" t="s">
        <v>83</v>
      </c>
      <c r="B21" s="38"/>
      <c r="C21" s="38"/>
      <c r="D21" s="38"/>
      <c r="E21" s="37">
        <f>SUM(E8,E15)</f>
        <v>1636000</v>
      </c>
      <c r="F21" s="48" t="s">
        <v>91</v>
      </c>
      <c r="G21" s="38"/>
      <c r="H21" s="38"/>
      <c r="I21" s="40"/>
      <c r="J21" s="37">
        <f>SUM(J13,J19)</f>
        <v>1636000</v>
      </c>
    </row>
    <row r="22" spans="1:10" ht="15.75" thickTop="1" x14ac:dyDescent="0.25">
      <c r="A22" s="14"/>
      <c r="B22" s="38"/>
      <c r="C22" s="38"/>
      <c r="D22" s="38"/>
      <c r="E22" s="38"/>
      <c r="F22" s="14"/>
      <c r="G22" s="38"/>
      <c r="H22" s="38"/>
      <c r="I22" s="40"/>
      <c r="J22" s="43"/>
    </row>
    <row r="23" spans="1:10" ht="15.75" thickBot="1" x14ac:dyDescent="0.3">
      <c r="A23" s="18"/>
      <c r="B23" s="21"/>
      <c r="C23" s="21"/>
      <c r="D23" s="21"/>
      <c r="E23" s="21"/>
      <c r="F23" s="18"/>
      <c r="G23" s="21"/>
      <c r="H23" s="21"/>
      <c r="I23" s="41"/>
      <c r="J23" s="44"/>
    </row>
  </sheetData>
  <mergeCells count="3">
    <mergeCell ref="A1:J1"/>
    <mergeCell ref="A2:J2"/>
    <mergeCell ref="A3: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CHART OF ACCOUNT</vt:lpstr>
      <vt:lpstr>JOURNAL ENTRIES</vt:lpstr>
      <vt:lpstr>LEDGER</vt:lpstr>
      <vt:lpstr>TRAIL BALANCE</vt:lpstr>
      <vt:lpstr>INCOME STATMENT</vt:lpstr>
      <vt:lpstr>BALANCE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UMM E TOOBA</dc:creator>
  <cp:lastModifiedBy>UMM E TOOBA</cp:lastModifiedBy>
  <dcterms:created xsi:type="dcterms:W3CDTF">2026-07-09T14:44:37Z</dcterms:created>
  <dcterms:modified xsi:type="dcterms:W3CDTF">2026-07-09T17:50:53Z</dcterms:modified>
</cp:coreProperties>
</file>